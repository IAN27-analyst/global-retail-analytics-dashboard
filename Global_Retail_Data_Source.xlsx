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fe2e27aa9e3f865/"/>
    </mc:Choice>
  </mc:AlternateContent>
  <xr:revisionPtr revIDLastSave="0" documentId="8_{A81C34AF-209E-4162-B073-161063694B49}" xr6:coauthVersionLast="47" xr6:coauthVersionMax="47" xr10:uidLastSave="{00000000-0000-0000-0000-000000000000}"/>
  <bookViews>
    <workbookView xWindow="23880" yWindow="-120" windowWidth="29040" windowHeight="18240" activeTab="3" xr2:uid="{59BA7C00-6D9D-4B83-A2C9-11A662D425A2}"/>
  </bookViews>
  <sheets>
    <sheet name="Messy Data" sheetId="1" r:id="rId1"/>
    <sheet name="Clean Data" sheetId="3" r:id="rId2"/>
    <sheet name="Analytics Workspace" sheetId="2" r:id="rId3"/>
    <sheet name="Pivot Table" sheetId="4" r:id="rId4"/>
  </sheets>
  <definedNames>
    <definedName name="ExternalData_1" localSheetId="1" hidden="1">'Clean Data'!$A$1:$K$15</definedName>
    <definedName name="Slicer_Shipping_Status">#N/A</definedName>
    <definedName name="Slicer_Value_Segment">#N/A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a="1"/>
  <c r="D5" i="2" s="1"/>
  <c r="C5" i="2" a="1"/>
  <c r="C5" i="2" s="1"/>
  <c r="A5" i="2" a="1"/>
  <c r="A5" i="2" s="1"/>
  <c r="N2" i="3"/>
  <c r="N3" i="3"/>
  <c r="N4" i="3"/>
  <c r="N5" i="3"/>
  <c r="N6" i="3"/>
  <c r="N7" i="3"/>
  <c r="N8" i="3"/>
  <c r="N9" i="3"/>
  <c r="N10" i="3"/>
  <c r="N11" i="3"/>
  <c r="N12" i="3"/>
  <c r="N13" i="3"/>
  <c r="N14" i="3"/>
  <c r="N15" i="3"/>
  <c r="L2" i="3"/>
  <c r="M2" i="3" s="1"/>
  <c r="O2" i="3" s="1" a="1"/>
  <c r="O2" i="3" s="1"/>
  <c r="L3" i="3"/>
  <c r="M3" i="3" s="1"/>
  <c r="O3" i="3" s="1" a="1"/>
  <c r="O3" i="3" s="1"/>
  <c r="L4" i="3"/>
  <c r="M4" i="3" s="1"/>
  <c r="O4" i="3" s="1" a="1"/>
  <c r="O4" i="3" s="1"/>
  <c r="L5" i="3"/>
  <c r="M5" i="3" s="1"/>
  <c r="O5" i="3" s="1" a="1"/>
  <c r="O5" i="3" s="1"/>
  <c r="L6" i="3"/>
  <c r="M6" i="3" s="1"/>
  <c r="O6" i="3" s="1" a="1"/>
  <c r="O6" i="3" s="1"/>
  <c r="L7" i="3"/>
  <c r="M7" i="3" s="1"/>
  <c r="O7" i="3" s="1" a="1"/>
  <c r="O7" i="3" s="1"/>
  <c r="L8" i="3"/>
  <c r="M8" i="3" s="1"/>
  <c r="O8" i="3" s="1" a="1"/>
  <c r="O8" i="3" s="1"/>
  <c r="L9" i="3"/>
  <c r="M9" i="3" s="1"/>
  <c r="O9" i="3" s="1" a="1"/>
  <c r="O9" i="3" s="1"/>
  <c r="L10" i="3"/>
  <c r="M10" i="3" s="1"/>
  <c r="O10" i="3" s="1" a="1"/>
  <c r="O10" i="3" s="1"/>
  <c r="L11" i="3"/>
  <c r="M11" i="3" s="1"/>
  <c r="O11" i="3" s="1" a="1"/>
  <c r="O11" i="3" s="1"/>
  <c r="L12" i="3"/>
  <c r="M12" i="3" s="1"/>
  <c r="O12" i="3" s="1" a="1"/>
  <c r="O12" i="3" s="1"/>
  <c r="L13" i="3"/>
  <c r="M13" i="3" s="1"/>
  <c r="O13" i="3" s="1" a="1"/>
  <c r="O13" i="3" s="1"/>
  <c r="L14" i="3"/>
  <c r="M14" i="3" s="1"/>
  <c r="O14" i="3" s="1" a="1"/>
  <c r="O14" i="3" s="1"/>
  <c r="L15" i="3"/>
  <c r="M15" i="3" s="1"/>
  <c r="O15" i="3" s="1" a="1"/>
  <c r="O15" i="3" s="1"/>
  <c r="B5" i="2" l="1" a="1"/>
  <c r="B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3F2A9A-3C0B-49E8-B1B9-C01603BA2A6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<sst xmlns="http://schemas.openxmlformats.org/spreadsheetml/2006/main" count="272" uniqueCount="99">
  <si>
    <t>Transaction_ID</t>
  </si>
  <si>
    <t>Order_Date</t>
  </si>
  <si>
    <t>Customer_Name</t>
  </si>
  <si>
    <t>Segment</t>
  </si>
  <si>
    <t>Country</t>
  </si>
  <si>
    <t>Product_ID</t>
  </si>
  <si>
    <t>Category</t>
  </si>
  <si>
    <t>Quantity</t>
  </si>
  <si>
    <t>Unit_Price</t>
  </si>
  <si>
    <t>Discount</t>
  </si>
  <si>
    <t>Shipping_Status</t>
  </si>
  <si>
    <t>TXN-1001</t>
  </si>
  <si>
    <t xml:space="preserve">  john doe  </t>
  </si>
  <si>
    <t>Consumer</t>
  </si>
  <si>
    <t>United States</t>
  </si>
  <si>
    <t>PROD-9981</t>
  </si>
  <si>
    <t>Electronics</t>
  </si>
  <si>
    <t>Delivered</t>
  </si>
  <si>
    <t>TXN-1002</t>
  </si>
  <si>
    <t>15/01/2025</t>
  </si>
  <si>
    <t>Alice Smith</t>
  </si>
  <si>
    <t>Corporate</t>
  </si>
  <si>
    <t>United Kingdom</t>
  </si>
  <si>
    <t>PROD-4412</t>
  </si>
  <si>
    <t>Office Supplies</t>
  </si>
  <si>
    <t>NULL</t>
  </si>
  <si>
    <t>TXN-1003</t>
  </si>
  <si>
    <t>bob jones</t>
  </si>
  <si>
    <t>Home Office</t>
  </si>
  <si>
    <t>Nigeria</t>
  </si>
  <si>
    <t>PROD-2231</t>
  </si>
  <si>
    <t>Furniture</t>
  </si>
  <si>
    <t>Shipped</t>
  </si>
  <si>
    <t>TXN-1004</t>
  </si>
  <si>
    <t>CHRIS GREEN</t>
  </si>
  <si>
    <t>Canada</t>
  </si>
  <si>
    <t>ELECTRONICS</t>
  </si>
  <si>
    <t>Pending</t>
  </si>
  <si>
    <t>TXN-1005</t>
  </si>
  <si>
    <t>Sarah Connor</t>
  </si>
  <si>
    <t>Germany</t>
  </si>
  <si>
    <t>PROD-7721</t>
  </si>
  <si>
    <t>TXN-1006</t>
  </si>
  <si>
    <t>david saeed</t>
  </si>
  <si>
    <t>United Arab Emirates</t>
  </si>
  <si>
    <t>PROD-1152</t>
  </si>
  <si>
    <t>Returned</t>
  </si>
  <si>
    <t>TXN-1007</t>
  </si>
  <si>
    <t xml:space="preserve">  EMMA WATSON</t>
  </si>
  <si>
    <t>TXN-1008</t>
  </si>
  <si>
    <t>Michael Brown</t>
  </si>
  <si>
    <t>PROD-3345</t>
  </si>
  <si>
    <t>TXN-1009</t>
  </si>
  <si>
    <t>kevin hart</t>
  </si>
  <si>
    <t>PROD-5567</t>
  </si>
  <si>
    <t>Cancelled</t>
  </si>
  <si>
    <t>TXN-1010</t>
  </si>
  <si>
    <t>ALICE SMITH</t>
  </si>
  <si>
    <t>Office supplies</t>
  </si>
  <si>
    <t>TXN-1011</t>
  </si>
  <si>
    <t>John Doe</t>
  </si>
  <si>
    <t>TXN-1012</t>
  </si>
  <si>
    <t>24-01-2025</t>
  </si>
  <si>
    <t>tunde bakare</t>
  </si>
  <si>
    <t>TXN-1013</t>
  </si>
  <si>
    <t>Mary-Jane Watson</t>
  </si>
  <si>
    <t>PROD-8819</t>
  </si>
  <si>
    <t>TXN-1014</t>
  </si>
  <si>
    <t xml:space="preserve">  bruce wayne  </t>
  </si>
  <si>
    <t>TXN-1015</t>
  </si>
  <si>
    <t>Diana Prince</t>
  </si>
  <si>
    <t>Bob Jones</t>
  </si>
  <si>
    <t>Chris Green</t>
  </si>
  <si>
    <t>David Saeed</t>
  </si>
  <si>
    <t>Emma Watson</t>
  </si>
  <si>
    <t>Kevin Hart</t>
  </si>
  <si>
    <t>Tunde Bakare</t>
  </si>
  <si>
    <t>Bruce Wayne</t>
  </si>
  <si>
    <t>Net Revenue</t>
  </si>
  <si>
    <t>Gross_Revenue</t>
  </si>
  <si>
    <t>Regional_Manager</t>
  </si>
  <si>
    <t>Manager</t>
  </si>
  <si>
    <t>Obi</t>
  </si>
  <si>
    <t>Sarah</t>
  </si>
  <si>
    <t>Chidi</t>
  </si>
  <si>
    <t>Liam</t>
  </si>
  <si>
    <t>Sofia</t>
  </si>
  <si>
    <t>Value_Segment</t>
  </si>
  <si>
    <t>United Arab emirates</t>
  </si>
  <si>
    <t>Amara</t>
  </si>
  <si>
    <t>Product Category</t>
  </si>
  <si>
    <t>Total Transactions</t>
  </si>
  <si>
    <t>Total Net Revenue</t>
  </si>
  <si>
    <t>Average Discount Given</t>
  </si>
  <si>
    <t>PRODUCT VERTICAL PERFORMANCE METRICS</t>
  </si>
  <si>
    <t>Data Source: Power Query Cleaned Retail Export</t>
  </si>
  <si>
    <t>Row Labels</t>
  </si>
  <si>
    <t>Grand Total</t>
  </si>
  <si>
    <t>Sum of 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</si>
</sst>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70" formatCode="&quot;$&quot;#,##0.00"/>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1F1F1F"/>
      <name val="Arial"/>
      <family val="2"/>
    </font>
    <font>
      <b/>
      <sz val="11"/>
      <color rgb="FF1F1F1F"/>
      <name val="Arial"/>
      <family val="2"/>
    </font>
    <font>
      <b/>
      <sz val="18"/>
      <color rgb="FF00B050"/>
      <name val="Aptos Narrow"/>
      <family val="2"/>
      <scheme val="minor"/>
    </font>
    <font>
      <sz val="10"/>
      <color theme="1" tint="0.34998626667073579"/>
      <name val="Garamond"/>
      <family val="1"/>
    </font>
  </fonts>
  <fills count="3">
    <fill>
      <patternFill patternType="none"/>
    </fill>
    <fill>
      <patternFill patternType="gray125"/>
    </fill>
    <fill>
      <patternFill patternType="solid">
        <fgColor theme="6" tint="0.39997558519241921"/>
        <bgColor indexed="64"/>
      </patternFill>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8" fontId="0" fillId="0" borderId="0" xfId="0" applyNumberFormat="1"/>
    <xf numFmtId="0" fontId="0" fillId="0" borderId="0" xfId="0" applyNumberFormat="1"/>
    <xf numFmtId="0" fontId="4"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3" fillId="0" borderId="2" xfId="0" applyFont="1" applyFill="1" applyBorder="1" applyAlignment="1">
      <alignment horizontal="left" vertical="center" wrapText="1" indent="1" readingOrder="1"/>
    </xf>
    <xf numFmtId="0" fontId="2" fillId="2" borderId="3" xfId="0" applyFont="1" applyFill="1" applyBorder="1"/>
    <xf numFmtId="14" fontId="2" fillId="2" borderId="3" xfId="0" applyNumberFormat="1" applyFont="1" applyFill="1" applyBorder="1"/>
    <xf numFmtId="0" fontId="0" fillId="0" borderId="3" xfId="0" applyBorder="1"/>
    <xf numFmtId="0" fontId="0" fillId="0" borderId="3" xfId="0" applyNumberFormat="1" applyBorder="1"/>
    <xf numFmtId="170" fontId="0" fillId="0" borderId="3" xfId="0" applyNumberFormat="1" applyBorder="1"/>
    <xf numFmtId="9" fontId="0" fillId="0" borderId="3" xfId="1" applyFont="1" applyBorder="1"/>
    <xf numFmtId="0" fontId="0" fillId="0" borderId="4" xfId="0" applyBorder="1"/>
    <xf numFmtId="0" fontId="0" fillId="0" borderId="4" xfId="0" applyNumberFormat="1" applyBorder="1"/>
    <xf numFmtId="170" fontId="0" fillId="0" borderId="4" xfId="0" applyNumberFormat="1" applyBorder="1"/>
    <xf numFmtId="9" fontId="0" fillId="0" borderId="4" xfId="1" applyFont="1" applyBorder="1"/>
    <xf numFmtId="0" fontId="5" fillId="0" borderId="0" xfId="0" applyFont="1"/>
    <xf numFmtId="0" fontId="6" fillId="0" borderId="0" xfId="0" applyFont="1"/>
    <xf numFmtId="0" fontId="0" fillId="0" borderId="0" xfId="0" pivotButton="1"/>
    <xf numFmtId="0" fontId="0" fillId="0" borderId="0" xfId="0" applyAlignment="1">
      <alignment horizontal="left"/>
    </xf>
  </cellXfs>
  <cellStyles count="2">
    <cellStyle name="Normal" xfId="0" builtinId="0"/>
    <cellStyle name="Percent" xfId="1" builtinId="5"/>
  </cellStyles>
  <dxfs count="62">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[Global_Retail_Data_Source.xlsx]Pivot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Revenue by Destination</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Table'!$A$5:$A$7</c:f>
              <c:strCache>
                <c:ptCount val="2"/>
                <c:pt idx="0">
                  <c:v>Nigeria</c:v>
                </c:pt>
                <c:pt idx="1">
                  <c:v>United States</c:v>
                </c:pt>
              </c:strCache>
            </c:strRef>
          </c:cat>
          <c:val>
            <c:numRef>
              <c:f>'Pivot Table'!$B$5:$B$7</c:f>
              <c:numCache>
                <c:formatCode>"$"#,##0.00_);[Red]\("$"#,##0.00\)</c:formatCode>
                <c:ptCount val="2"/>
                <c:pt idx="0">
                  <c:v>608</c:v>
                </c:pt>
                <c:pt idx="1">
                  <c:v>750</c:v>
                </c:pt>
              </c:numCache>
            </c:numRef>
          </c:val>
          <c:extLst>
            <c:ext xmlns:c16="http://schemas.microsoft.com/office/drawing/2014/chart" uri="{C3380CC4-5D6E-409C-BE32-E72D297353CC}">
              <c16:uniqueId val="{00000000-BAA9-4244-86AD-EA5B33FD6F08}"/>
            </c:ext>
          </c:extLst>
        </c:ser>
        <c:dLbls>
          <c:showLegendKey val="0"/>
          <c:showVal val="0"/>
          <c:showCatName val="0"/>
          <c:showSerName val="0"/>
          <c:showPercent val="0"/>
          <c:showBubbleSize val="0"/>
        </c:dLbls>
        <c:gapWidth val="182"/>
        <c:axId val="1527643504"/>
        <c:axId val="1527650704"/>
      </c:barChart>
      <c:catAx>
        <c:axId val="152764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50704"/>
        <c:crosses val="autoZero"/>
        <c:auto val="1"/>
        <c:lblAlgn val="ctr"/>
        <c:lblOffset val="100"/>
        <c:noMultiLvlLbl val="0"/>
      </c:catAx>
      <c:valAx>
        <c:axId val="1527650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4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[Global_Retail_Data_Source.xlsx]Pivot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Table'!$A$30:$A$32</c:f>
              <c:strCache>
                <c:ptCount val="2"/>
                <c:pt idx="0">
                  <c:v>Electronics</c:v>
                </c:pt>
                <c:pt idx="1">
                  <c:v>Furniture</c:v>
                </c:pt>
              </c:strCache>
            </c:strRef>
          </c:cat>
          <c:val>
            <c:numRef>
              <c:f>'Pivot Table'!$B$30:$B$32</c:f>
              <c:numCache>
                <c:formatCode>"$"#,##0.00_);[Red]\("$"#,##0.00\)</c:formatCode>
                <c:ptCount val="2"/>
                <c:pt idx="0">
                  <c:v>750</c:v>
                </c:pt>
                <c:pt idx="1">
                  <c:v>608</c:v>
                </c:pt>
              </c:numCache>
            </c:numRef>
          </c:val>
          <c:extLst>
            <c:ext xmlns:c16="http://schemas.microsoft.com/office/drawing/2014/chart" uri="{C3380CC4-5D6E-409C-BE32-E72D297353CC}">
              <c16:uniqueId val="{00000000-31F0-43A3-8DB2-AC88B0A537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xdr:colOff>
      <xdr:row>3</xdr:row>
      <xdr:rowOff>14286</xdr:rowOff>
    </xdr:from>
    <xdr:to>
      <xdr:col>13</xdr:col>
      <xdr:colOff>85725</xdr:colOff>
      <xdr:row>24</xdr:row>
      <xdr:rowOff>19049</xdr:rowOff>
    </xdr:to>
    <xdr:graphicFrame macro="">
      <xdr:nvGraphicFramePr>
        <xdr:cNvPr id="2" name="Chart 1">
          <a:extLst>
            <a:ext uri="{FF2B5EF4-FFF2-40B4-BE49-F238E27FC236}">
              <a16:creationId xmlns:a16="http://schemas.microsoft.com/office/drawing/2014/main" id="{07659541-F3C2-A5CF-B9CB-C1699C210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28</xdr:row>
      <xdr:rowOff>4762</xdr:rowOff>
    </xdr:from>
    <xdr:to>
      <xdr:col>10</xdr:col>
      <xdr:colOff>57150</xdr:colOff>
      <xdr:row>42</xdr:row>
      <xdr:rowOff>80962</xdr:rowOff>
    </xdr:to>
    <xdr:graphicFrame macro="">
      <xdr:nvGraphicFramePr>
        <xdr:cNvPr id="3" name="Chart 2">
          <a:extLst>
            <a:ext uri="{FF2B5EF4-FFF2-40B4-BE49-F238E27FC236}">
              <a16:creationId xmlns:a16="http://schemas.microsoft.com/office/drawing/2014/main" id="{3DDA3972-1104-0CD8-3144-98681E4A2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276225</xdr:colOff>
      <xdr:row>2</xdr:row>
      <xdr:rowOff>171450</xdr:rowOff>
    </xdr:from>
    <xdr:to>
      <xdr:col>16</xdr:col>
      <xdr:colOff>276225</xdr:colOff>
      <xdr:row>16</xdr:row>
      <xdr:rowOff>171450</xdr:rowOff>
    </xdr:to>
    <mc:AlternateContent xmlns:mc="http://schemas.openxmlformats.org/markup-compatibility/2006">
      <mc:Choice xmlns:a14="http://schemas.microsoft.com/office/drawing/2010/main" Requires="a14">
        <xdr:graphicFrame macro="">
          <xdr:nvGraphicFramePr>
            <xdr:cNvPr id="4" name="Shipping_Status">
              <a:extLst>
                <a:ext uri="{FF2B5EF4-FFF2-40B4-BE49-F238E27FC236}">
                  <a16:creationId xmlns:a16="http://schemas.microsoft.com/office/drawing/2014/main" id="{666AA06F-9C85-1E54-3A07-810E4D39386C}"/>
                </a:ext>
              </a:extLst>
            </xdr:cNvPr>
            <xdr:cNvGraphicFramePr/>
          </xdr:nvGraphicFramePr>
          <xdr:xfrm>
            <a:off x="0" y="0"/>
            <a:ext cx="0" cy="0"/>
          </xdr:xfrm>
          <a:graphic>
            <a:graphicData uri="http://schemas.microsoft.com/office/drawing/2010/slicer">
              <sle:slicer xmlns:sle="http://schemas.microsoft.com/office/drawing/2010/slicer" name="Shipping_Status"/>
            </a:graphicData>
          </a:graphic>
        </xdr:graphicFrame>
      </mc:Choice>
      <mc:Fallback>
        <xdr:sp macro="" textlink="">
          <xdr:nvSpPr>
            <xdr:cNvPr id="0" name=""/>
            <xdr:cNvSpPr>
              <a:spLocks noTextEdit="1"/>
            </xdr:cNvSpPr>
          </xdr:nvSpPr>
          <xdr:spPr>
            <a:xfrm>
              <a:off x="9191625" y="552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447675</xdr:colOff>
      <xdr:row>2</xdr:row>
      <xdr:rowOff>152400</xdr:rowOff>
    </xdr:from>
    <xdr:to>
      <xdr:col>19</xdr:col>
      <xdr:colOff>447675</xdr:colOff>
      <xdr:row>16</xdr:row>
      <xdr:rowOff>152400</xdr:rowOff>
    </xdr:to>
    <mc:AlternateContent xmlns:mc="http://schemas.openxmlformats.org/markup-compatibility/2006">
      <mc:Choice xmlns:a14="http://schemas.microsoft.com/office/drawing/2010/main" Requires="a14">
        <xdr:graphicFrame macro="">
          <xdr:nvGraphicFramePr>
            <xdr:cNvPr id="5" name="Value_Segment">
              <a:extLst>
                <a:ext uri="{FF2B5EF4-FFF2-40B4-BE49-F238E27FC236}">
                  <a16:creationId xmlns:a16="http://schemas.microsoft.com/office/drawing/2014/main" id="{2E934A7C-8BFB-2BCC-2BC7-A325DC82104B}"/>
                </a:ext>
              </a:extLst>
            </xdr:cNvPr>
            <xdr:cNvGraphicFramePr/>
          </xdr:nvGraphicFramePr>
          <xdr:xfrm>
            <a:off x="0" y="0"/>
            <a:ext cx="0" cy="0"/>
          </xdr:xfrm>
          <a:graphic>
            <a:graphicData uri="http://schemas.microsoft.com/office/drawing/2010/slicer">
              <sle:slicer xmlns:sle="http://schemas.microsoft.com/office/drawing/2010/slicer" name="Value_Segment"/>
            </a:graphicData>
          </a:graphic>
        </xdr:graphicFrame>
      </mc:Choice>
      <mc:Fallback>
        <xdr:sp macro="" textlink="">
          <xdr:nvSpPr>
            <xdr:cNvPr id="0" name=""/>
            <xdr:cNvSpPr>
              <a:spLocks noTextEdit="1"/>
            </xdr:cNvSpPr>
          </xdr:nvSpPr>
          <xdr:spPr>
            <a:xfrm>
              <a:off x="11191875" y="533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areth Ogoziem" refreshedDate="46183.926651967595" createdVersion="8" refreshedVersion="8" minRefreshableVersion="3" recordCount="14" xr:uid="{781838C4-6203-4413-8D0A-2B7056364F93}">
  <cacheSource type="worksheet">
    <worksheetSource name="Table1_1"/>
  </cacheSource>
  <cacheFields count="15">
    <cacheField name="Transaction_ID" numFmtId="0">
      <sharedItems/>
    </cacheField>
    <cacheField name="Order_Date" numFmtId="14">
      <sharedItems containsSemiMixedTypes="0" containsNonDate="0" containsDate="1" containsString="0" minDate="2025-01-15T00:00:00" maxDate="2025-01-28T00:00:00"/>
    </cacheField>
    <cacheField name="Customer_Name" numFmtId="0">
      <sharedItems/>
    </cacheField>
    <cacheField name="Segment" numFmtId="0">
      <sharedItems/>
    </cacheField>
    <cacheField name="Country" numFmtId="0">
      <sharedItems count="6">
        <s v="United States"/>
        <s v="United Kingdom"/>
        <s v="Nigeria"/>
        <s v="Canada"/>
        <s v="Germany"/>
        <s v="United Arab Emirates"/>
      </sharedItems>
    </cacheField>
    <cacheField name="Product_ID" numFmtId="0">
      <sharedItems/>
    </cacheField>
    <cacheField name="Category" numFmtId="0">
      <sharedItems count="3">
        <s v="Electronics"/>
        <s v="Office Supplies"/>
        <s v="Furniture"/>
      </sharedItems>
    </cacheField>
    <cacheField name="Quantity" numFmtId="0">
      <sharedItems containsSemiMixedTypes="0" containsString="0" containsNumber="1" containsInteger="1" minValue="1" maxValue="25"/>
    </cacheField>
    <cacheField name="Unit_Price" numFmtId="0">
      <sharedItems containsSemiMixedTypes="0" containsString="0" containsNumber="1" minValue="2.1" maxValue="320"/>
    </cacheField>
    <cacheField name="Discount" numFmtId="0">
      <sharedItems containsSemiMixedTypes="0" containsString="0" containsNumber="1" minValue="0" maxValue="0.25"/>
    </cacheField>
    <cacheField name="Shipping_Status" numFmtId="0">
      <sharedItems count="5">
        <s v="Delivered"/>
        <s v="Shipped"/>
        <s v="Pending"/>
        <s v="Returned"/>
        <s v="Cancelled"/>
      </sharedItems>
    </cacheField>
    <cacheField name="Gross_Revenue" numFmtId="0">
      <sharedItems containsSemiMixedTypes="0" containsString="0" containsNumber="1" minValue="12.5" maxValue="750"/>
    </cacheField>
    <cacheField name="Net Revenue" numFmtId="0">
      <sharedItems containsSemiMixedTypes="0" containsString="0" containsNumber="1" minValue="11.25" maxValue="750"/>
    </cacheField>
    <cacheField name="Regional_Manager" numFmtId="0">
      <sharedItems/>
    </cacheField>
    <cacheField name="Value_Segment" numFmtId="0">
      <sharedItems count="3">
        <s v="High Value"/>
        <s v="Low Value"/>
        <s v="Mid Value"/>
      </sharedItems>
    </cacheField>
  </cacheFields>
  <extLst>
    <ext xmlns:x14="http://schemas.microsoft.com/office/spreadsheetml/2009/9/main" uri="{725AE2AE-9491-48be-B2B4-4EB974FC3084}">
      <x14:pivotCacheDefinition pivotCacheId="1323009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TXN-1001"/>
    <d v="2025-01-15T00:00:00"/>
    <s v="John Doe"/>
    <s v="Consumer"/>
    <x v="0"/>
    <s v="PROD-9981"/>
    <x v="0"/>
    <n v="2"/>
    <n v="150"/>
    <n v="0"/>
    <x v="0"/>
    <n v="300"/>
    <n v="300"/>
    <s v="Obi"/>
    <x v="0"/>
  </r>
  <r>
    <s v="TXN-1002"/>
    <d v="2025-01-15T00:00:00"/>
    <s v="Alice Smith"/>
    <s v="Corporate"/>
    <x v="1"/>
    <s v="PROD-4412"/>
    <x v="1"/>
    <n v="1"/>
    <n v="12.5"/>
    <n v="0.1"/>
    <x v="0"/>
    <n v="12.5"/>
    <n v="11.25"/>
    <s v="Sarah"/>
    <x v="1"/>
  </r>
  <r>
    <s v="TXN-1003"/>
    <d v="2025-01-16T00:00:00"/>
    <s v="Bob Jones"/>
    <s v="Home Office"/>
    <x v="2"/>
    <s v="PROD-2231"/>
    <x v="2"/>
    <n v="1"/>
    <n v="320"/>
    <n v="0.05"/>
    <x v="1"/>
    <n v="320"/>
    <n v="304"/>
    <s v="Chidi"/>
    <x v="0"/>
  </r>
  <r>
    <s v="TXN-1004"/>
    <d v="2025-01-17T00:00:00"/>
    <s v="Chris Green"/>
    <s v="Consumer"/>
    <x v="3"/>
    <s v="PROD-9981"/>
    <x v="0"/>
    <n v="5"/>
    <n v="150"/>
    <n v="0"/>
    <x v="2"/>
    <n v="750"/>
    <n v="750"/>
    <s v="Liam"/>
    <x v="0"/>
  </r>
  <r>
    <s v="TXN-1005"/>
    <d v="2025-01-17T00:00:00"/>
    <s v="Sarah Connor"/>
    <s v="Consumer"/>
    <x v="4"/>
    <s v="PROD-7721"/>
    <x v="1"/>
    <n v="3"/>
    <n v="8.99"/>
    <n v="0"/>
    <x v="0"/>
    <n v="26.97"/>
    <n v="26.97"/>
    <s v="Sofia"/>
    <x v="1"/>
  </r>
  <r>
    <s v="TXN-1006"/>
    <d v="2025-01-18T00:00:00"/>
    <s v="David Saeed"/>
    <s v="Corporate"/>
    <x v="5"/>
    <s v="PROD-1152"/>
    <x v="2"/>
    <n v="4"/>
    <n v="110"/>
    <n v="0.15"/>
    <x v="3"/>
    <n v="440"/>
    <n v="374"/>
    <s v="Amara"/>
    <x v="0"/>
  </r>
  <r>
    <s v="TXN-1007"/>
    <d v="2025-01-19T00:00:00"/>
    <s v="Emma Watson"/>
    <s v="Consumer"/>
    <x v="1"/>
    <s v="PROD-9981"/>
    <x v="0"/>
    <n v="1"/>
    <n v="150"/>
    <n v="0"/>
    <x v="1"/>
    <n v="150"/>
    <n v="150"/>
    <s v="Sarah"/>
    <x v="2"/>
  </r>
  <r>
    <s v="TXN-1009"/>
    <d v="2025-01-21T00:00:00"/>
    <s v="Kevin Hart"/>
    <s v="Consumer"/>
    <x v="2"/>
    <s v="PROD-5567"/>
    <x v="0"/>
    <n v="2"/>
    <n v="85"/>
    <n v="0"/>
    <x v="4"/>
    <n v="170"/>
    <n v="170"/>
    <s v="Chidi"/>
    <x v="2"/>
  </r>
  <r>
    <s v="TXN-1010"/>
    <d v="2025-01-22T00:00:00"/>
    <s v="Alice Smith"/>
    <s v="Corporate"/>
    <x v="1"/>
    <s v="PROD-4412"/>
    <x v="1"/>
    <n v="6"/>
    <n v="12.5"/>
    <n v="0.1"/>
    <x v="0"/>
    <n v="75"/>
    <n v="67.5"/>
    <s v="Sarah"/>
    <x v="2"/>
  </r>
  <r>
    <s v="TXN-1011"/>
    <d v="2025-01-22T00:00:00"/>
    <s v="John Doe"/>
    <s v="Consumer"/>
    <x v="0"/>
    <s v="PROD-9981"/>
    <x v="0"/>
    <n v="3"/>
    <n v="150"/>
    <n v="0"/>
    <x v="0"/>
    <n v="450"/>
    <n v="450"/>
    <s v="Obi"/>
    <x v="0"/>
  </r>
  <r>
    <s v="TXN-1012"/>
    <d v="2025-01-24T00:00:00"/>
    <s v="Tunde Bakare"/>
    <s v="Home Office"/>
    <x v="2"/>
    <s v="PROD-2231"/>
    <x v="2"/>
    <n v="2"/>
    <n v="320"/>
    <n v="0.05"/>
    <x v="0"/>
    <n v="640"/>
    <n v="608"/>
    <s v="Chidi"/>
    <x v="0"/>
  </r>
  <r>
    <s v="TXN-1013"/>
    <d v="2025-01-25T00:00:00"/>
    <s v="Mary-Jane Watson"/>
    <s v="Consumer"/>
    <x v="3"/>
    <s v="PROD-8819"/>
    <x v="1"/>
    <n v="25"/>
    <n v="2.1"/>
    <n v="0.25"/>
    <x v="1"/>
    <n v="52.5"/>
    <n v="39.375"/>
    <s v="Liam"/>
    <x v="1"/>
  </r>
  <r>
    <s v="TXN-1014"/>
    <d v="2025-01-26T00:00:00"/>
    <s v="Bruce Wayne"/>
    <s v="Corporate"/>
    <x v="0"/>
    <s v="PROD-1152"/>
    <x v="2"/>
    <n v="1"/>
    <n v="110"/>
    <n v="0"/>
    <x v="2"/>
    <n v="110"/>
    <n v="110"/>
    <s v="Obi"/>
    <x v="2"/>
  </r>
  <r>
    <s v="TXN-1015"/>
    <d v="2025-01-27T00:00:00"/>
    <s v="Diana Prince"/>
    <s v="Home Office"/>
    <x v="4"/>
    <s v="PROD-5567"/>
    <x v="0"/>
    <n v="1"/>
    <n v="85"/>
    <n v="0"/>
    <x v="0"/>
    <n v="85"/>
    <n v="85"/>
    <s v="Sofi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FC1FD1-2E84-4445-9515-3FCC3776968F}"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2" firstHeaderRow="1" firstDataRow="1" firstDataCol="1"/>
  <pivotFields count="15">
    <pivotField showAll="0"/>
    <pivotField numFmtId="14" showAll="0"/>
    <pivotField showAll="0"/>
    <pivotField showAll="0"/>
    <pivotField showAll="0">
      <items count="7">
        <item x="3"/>
        <item x="4"/>
        <item x="2"/>
        <item x="5"/>
        <item x="1"/>
        <item x="0"/>
        <item t="default"/>
      </items>
    </pivotField>
    <pivotField showAll="0"/>
    <pivotField axis="axisRow" showAll="0">
      <items count="4">
        <item x="0"/>
        <item x="2"/>
        <item x="1"/>
        <item t="default"/>
      </items>
    </pivotField>
    <pivotField showAll="0"/>
    <pivotField showAll="0"/>
    <pivotField showAll="0"/>
    <pivotField showAll="0">
      <items count="6">
        <item h="1" x="4"/>
        <item x="0"/>
        <item h="1" x="2"/>
        <item h="1" x="3"/>
        <item h="1" x="1"/>
        <item t="default"/>
      </items>
    </pivotField>
    <pivotField showAll="0"/>
    <pivotField dataField="1" showAll="0"/>
    <pivotField showAll="0"/>
    <pivotField showAll="0">
      <items count="4">
        <item x="0"/>
        <item h="1" x="1"/>
        <item h="1" x="2"/>
        <item t="default"/>
      </items>
    </pivotField>
  </pivotFields>
  <rowFields count="1">
    <field x="6"/>
  </rowFields>
  <rowItems count="3">
    <i>
      <x/>
    </i>
    <i>
      <x v="1"/>
    </i>
    <i t="grand">
      <x/>
    </i>
  </rowItems>
  <colItems count="1">
    <i/>
  </colItems>
  <dataFields count="1">
    <dataField name="Sum of Net Revenue" fld="12" baseField="0" baseItem="0" numFmtId="8"/>
  </dataFields>
  <formats count="1">
    <format dxfId="4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DD9162-2FE8-44F3-9489-E62A2AF1A653}"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7" firstHeaderRow="1" firstDataRow="1" firstDataCol="1"/>
  <pivotFields count="15">
    <pivotField showAll="0"/>
    <pivotField numFmtId="14" showAll="0"/>
    <pivotField showAll="0"/>
    <pivotField showAll="0"/>
    <pivotField axis="axisRow" showAll="0">
      <items count="7">
        <item x="3"/>
        <item x="4"/>
        <item x="2"/>
        <item x="5"/>
        <item x="1"/>
        <item x="0"/>
        <item t="default"/>
      </items>
    </pivotField>
    <pivotField showAll="0"/>
    <pivotField showAll="0"/>
    <pivotField showAll="0"/>
    <pivotField showAll="0"/>
    <pivotField showAll="0"/>
    <pivotField showAll="0">
      <items count="6">
        <item h="1" x="4"/>
        <item x="0"/>
        <item h="1" x="2"/>
        <item h="1" x="3"/>
        <item h="1" x="1"/>
        <item t="default"/>
      </items>
    </pivotField>
    <pivotField showAll="0"/>
    <pivotField dataField="1" showAll="0"/>
    <pivotField showAll="0"/>
    <pivotField showAll="0">
      <items count="4">
        <item x="0"/>
        <item h="1" x="1"/>
        <item h="1" x="2"/>
        <item t="default"/>
      </items>
    </pivotField>
  </pivotFields>
  <rowFields count="1">
    <field x="4"/>
  </rowFields>
  <rowItems count="3">
    <i>
      <x v="2"/>
    </i>
    <i>
      <x v="5"/>
    </i>
    <i t="grand">
      <x/>
    </i>
  </rowItems>
  <colItems count="1">
    <i/>
  </colItems>
  <dataFields count="1">
    <dataField name="Sum of Net Revenue" fld="12" baseField="0" baseItem="0"/>
  </dataFields>
  <formats count="2">
    <format dxfId="49">
      <pivotArea collapsedLevelsAreSubtotals="1" fieldPosition="0">
        <references count="1">
          <reference field="4" count="0"/>
        </references>
      </pivotArea>
    </format>
    <format dxfId="4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1C7ABE-4462-4F58-AF5E-1B74754CCC45}" autoFormatId="16" applyNumberFormats="0" applyBorderFormats="0" applyFontFormats="0" applyPatternFormats="0" applyAlignmentFormats="0" applyWidthHeightFormats="0">
  <queryTableRefresh nextId="16" unboundColumnsRight="4">
    <queryTableFields count="15">
      <queryTableField id="1" name="Transaction_ID" tableColumnId="1"/>
      <queryTableField id="2" name="Order_Date" tableColumnId="2"/>
      <queryTableField id="3" name="Customer_Name" tableColumnId="3"/>
      <queryTableField id="4" name="Segment" tableColumnId="4"/>
      <queryTableField id="5" name="Country" tableColumnId="5"/>
      <queryTableField id="6" name="Product_ID" tableColumnId="6"/>
      <queryTableField id="7" name="Category" tableColumnId="7"/>
      <queryTableField id="8" name="Quantity" tableColumnId="8"/>
      <queryTableField id="9" name="Unit_Price" tableColumnId="9"/>
      <queryTableField id="10" name="Discount" tableColumnId="10"/>
      <queryTableField id="11" name="Shipping_Status" tableColumnId="11"/>
      <queryTableField id="12" dataBound="0" tableColumnId="12"/>
      <queryTableField id="13" dataBound="0"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Status" xr10:uid="{F31F3EF3-2A5A-4FAC-AA65-D930A47C9F11}" sourceName="Shipping_Status">
  <pivotTables>
    <pivotTable tabId="4" name="PivotTable9"/>
    <pivotTable tabId="4" name="PivotTable10"/>
  </pivotTables>
  <data>
    <tabular pivotCacheId="1323009809">
      <items count="5">
        <i x="0" s="1"/>
        <i x="2"/>
        <i x="3"/>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_Segment" xr10:uid="{EE722853-635A-4F95-A3A9-7D2C2527E27A}" sourceName="Value_Segment">
  <pivotTables>
    <pivotTable tabId="4" name="PivotTable9"/>
    <pivotTable tabId="4" name="PivotTable10"/>
  </pivotTables>
  <data>
    <tabular pivotCacheId="1323009809">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_Status" xr10:uid="{C4AB227B-61C2-45DF-9606-EBE011FAB500}" cache="Slicer_Shipping_Status" caption="Shipping_Status" rowHeight="257175"/>
  <slicer name="Value_Segment" xr10:uid="{21934812-8859-4303-A9D7-65B0443F6411}" cache="Slicer_Value_Segment" caption="Value_Seg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2C873-4722-4A9E-82D0-56C4303B46DF}" name="Table1_1" displayName="Table1_1" ref="A1:O15" tableType="queryTable" totalsRowShown="0">
  <autoFilter ref="A1:O15" xr:uid="{7612C873-4722-4A9E-82D0-56C4303B46DF}"/>
  <tableColumns count="15">
    <tableColumn id="1" xr3:uid="{927A0B59-FF8B-4AE6-8470-C25B2CB20A40}" uniqueName="1" name="Transaction_ID" queryTableFieldId="1" dataDxfId="61"/>
    <tableColumn id="2" xr3:uid="{9CD00FBC-A5DF-48B6-BD26-C6CF23E39B0C}" uniqueName="2" name="Order_Date" queryTableFieldId="2" dataDxfId="60"/>
    <tableColumn id="3" xr3:uid="{052FB0B1-AEE2-4554-9DB1-D99A6D75FF2E}" uniqueName="3" name="Customer_Name" queryTableFieldId="3" dataDxfId="59"/>
    <tableColumn id="4" xr3:uid="{AAE89D0B-6AC9-434B-B9B7-CBA330129305}" uniqueName="4" name="Segment" queryTableFieldId="4" dataDxfId="58"/>
    <tableColumn id="5" xr3:uid="{9C9E9B41-E25E-47BF-8359-841AE8B56755}" uniqueName="5" name="Country" queryTableFieldId="5" dataDxfId="57"/>
    <tableColumn id="6" xr3:uid="{30776364-6AFE-40DA-8CDE-096913B62E36}" uniqueName="6" name="Product_ID" queryTableFieldId="6" dataDxfId="56"/>
    <tableColumn id="7" xr3:uid="{7A7EAA0F-A411-4A1E-8C26-708754043ECD}" uniqueName="7" name="Category" queryTableFieldId="7" dataDxfId="55"/>
    <tableColumn id="8" xr3:uid="{4A011D4E-9291-4035-9DFA-31114D88B83E}" uniqueName="8" name="Quantity" queryTableFieldId="8"/>
    <tableColumn id="9" xr3:uid="{A1DFE2A7-63F9-4173-B67D-BC60256F8238}" uniqueName="9" name="Unit_Price" queryTableFieldId="9"/>
    <tableColumn id="10" xr3:uid="{9A5874CF-F043-451C-9072-11F4C01E74F4}" uniqueName="10" name="Discount" queryTableFieldId="10"/>
    <tableColumn id="11" xr3:uid="{05F5B825-1092-4ED4-A44D-B9AC244315A6}" uniqueName="11" name="Shipping_Status" queryTableFieldId="11" dataDxfId="54"/>
    <tableColumn id="12" xr3:uid="{BB4A2E42-075E-4DCD-8E7D-CD9D4A3B848C}" uniqueName="12" name="Gross_Revenue" queryTableFieldId="12" dataDxfId="53">
      <calculatedColumnFormula xml:space="preserve"> Table1_1[[#This Row],[Quantity]] * Table1_1[[#This Row],[Unit_Price]]</calculatedColumnFormula>
    </tableColumn>
    <tableColumn id="13" xr3:uid="{77EA759C-F7DC-4021-9E1A-6FFCCF9A5494}" uniqueName="13" name="Net Revenue" queryTableFieldId="13" dataDxfId="52">
      <calculatedColumnFormula xml:space="preserve"> Table1_1[[#This Row],[Gross_Revenue]] * (1 - Table1_1[[#This Row],[Discount]])</calculatedColumnFormula>
    </tableColumn>
    <tableColumn id="14" xr3:uid="{0A345586-3605-4D72-882B-F68610B9772D}" uniqueName="14" name="Regional_Manager" queryTableFieldId="14" dataDxfId="50">
      <calculatedColumnFormula>_xlfn.XLOOKUP(Table1_1[[#This Row],[Country]], $Q$2:$Q$7, $R$2:$R$7, "Unknown")</calculatedColumnFormula>
    </tableColumn>
    <tableColumn id="15" xr3:uid="{4CB6D9B5-8FFA-427B-A1BA-BFF9206B0068}" uniqueName="15" name="Value_Segment" queryTableFieldId="15" dataDxfId="51">
      <calculatedColumnFormula array="1">_xlfn.IFS(Table1_1[[#This Row],[Net Revenue]]&gt;=200, "High Value", Table1_1[[#This Row],[Net Revenue]]&gt;=50, "Mid Value", TRUE, "Low Value")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D76C-03CD-4C11-931E-7ED398375F9E}">
  <dimension ref="A1:K17"/>
  <sheetViews>
    <sheetView workbookViewId="0">
      <selection sqref="A1:A1048576"/>
    </sheetView>
  </sheetViews>
  <sheetFormatPr defaultRowHeight="15" x14ac:dyDescent="0.25"/>
  <cols>
    <col min="1" max="1" width="14.42578125" bestFit="1" customWidth="1"/>
    <col min="2" max="2" width="10.85546875" bestFit="1" customWidth="1"/>
    <col min="3" max="3" width="17.42578125" bestFit="1" customWidth="1"/>
    <col min="4" max="4" width="11.7109375" bestFit="1" customWidth="1"/>
    <col min="5" max="5" width="19.7109375" bestFit="1" customWidth="1"/>
    <col min="6" max="6" width="10.7109375" bestFit="1" customWidth="1"/>
    <col min="7" max="7" width="14.28515625" bestFit="1" customWidth="1"/>
    <col min="8" max="8" width="8.42578125" bestFit="1" customWidth="1"/>
    <col min="9" max="9" width="9.85546875" bestFit="1" customWidth="1"/>
    <col min="10" max="10" width="8.85546875" bestFit="1" customWidth="1"/>
    <col min="11" max="11" width="15.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45672</v>
      </c>
      <c r="C2" t="s">
        <v>12</v>
      </c>
      <c r="D2" t="s">
        <v>13</v>
      </c>
      <c r="E2" t="s">
        <v>14</v>
      </c>
      <c r="F2" t="s">
        <v>15</v>
      </c>
      <c r="G2" t="s">
        <v>16</v>
      </c>
      <c r="H2">
        <v>2</v>
      </c>
      <c r="I2">
        <v>150</v>
      </c>
      <c r="J2">
        <v>0</v>
      </c>
      <c r="K2" t="s">
        <v>17</v>
      </c>
    </row>
    <row r="3" spans="1:11" x14ac:dyDescent="0.25">
      <c r="A3" t="s">
        <v>18</v>
      </c>
      <c r="B3" t="s">
        <v>19</v>
      </c>
      <c r="C3" t="s">
        <v>20</v>
      </c>
      <c r="D3" t="s">
        <v>21</v>
      </c>
      <c r="E3" t="s">
        <v>22</v>
      </c>
      <c r="F3" t="s">
        <v>23</v>
      </c>
      <c r="G3" t="s">
        <v>24</v>
      </c>
      <c r="H3" t="s">
        <v>25</v>
      </c>
      <c r="I3">
        <v>12.5</v>
      </c>
      <c r="J3">
        <v>0.1</v>
      </c>
      <c r="K3" t="s">
        <v>17</v>
      </c>
    </row>
    <row r="4" spans="1:11" x14ac:dyDescent="0.25">
      <c r="A4" t="s">
        <v>26</v>
      </c>
      <c r="B4" s="1">
        <v>45673</v>
      </c>
      <c r="C4" t="s">
        <v>27</v>
      </c>
      <c r="D4" t="s">
        <v>28</v>
      </c>
      <c r="E4" t="s">
        <v>29</v>
      </c>
      <c r="F4" t="s">
        <v>30</v>
      </c>
      <c r="G4" t="s">
        <v>31</v>
      </c>
      <c r="H4">
        <v>1</v>
      </c>
      <c r="I4">
        <v>320</v>
      </c>
      <c r="J4">
        <v>0.05</v>
      </c>
      <c r="K4" t="s">
        <v>32</v>
      </c>
    </row>
    <row r="5" spans="1:11" x14ac:dyDescent="0.25">
      <c r="A5" t="s">
        <v>33</v>
      </c>
      <c r="B5" s="1">
        <v>45674</v>
      </c>
      <c r="C5" t="s">
        <v>34</v>
      </c>
      <c r="D5" t="s">
        <v>13</v>
      </c>
      <c r="E5" t="s">
        <v>35</v>
      </c>
      <c r="F5" t="s">
        <v>15</v>
      </c>
      <c r="G5" t="s">
        <v>36</v>
      </c>
      <c r="H5">
        <v>5</v>
      </c>
      <c r="I5">
        <v>150</v>
      </c>
      <c r="J5">
        <v>0</v>
      </c>
      <c r="K5" t="s">
        <v>37</v>
      </c>
    </row>
    <row r="6" spans="1:11" x14ac:dyDescent="0.25">
      <c r="A6" t="s">
        <v>38</v>
      </c>
      <c r="B6" s="1">
        <v>45674</v>
      </c>
      <c r="C6" t="s">
        <v>39</v>
      </c>
      <c r="D6" t="s">
        <v>13</v>
      </c>
      <c r="E6" t="s">
        <v>40</v>
      </c>
      <c r="F6" t="s">
        <v>41</v>
      </c>
      <c r="G6" t="s">
        <v>24</v>
      </c>
      <c r="H6">
        <v>3</v>
      </c>
      <c r="I6">
        <v>8.99</v>
      </c>
      <c r="J6" t="s">
        <v>25</v>
      </c>
      <c r="K6" t="s">
        <v>17</v>
      </c>
    </row>
    <row r="7" spans="1:11" x14ac:dyDescent="0.25">
      <c r="A7" t="s">
        <v>38</v>
      </c>
      <c r="B7" s="1">
        <v>45674</v>
      </c>
      <c r="C7" t="s">
        <v>39</v>
      </c>
      <c r="D7" t="s">
        <v>13</v>
      </c>
      <c r="E7" t="s">
        <v>40</v>
      </c>
      <c r="F7" t="s">
        <v>41</v>
      </c>
      <c r="G7" t="s">
        <v>24</v>
      </c>
      <c r="H7">
        <v>3</v>
      </c>
      <c r="I7">
        <v>8.99</v>
      </c>
      <c r="J7" t="s">
        <v>25</v>
      </c>
      <c r="K7" t="s">
        <v>17</v>
      </c>
    </row>
    <row r="8" spans="1:11" x14ac:dyDescent="0.25">
      <c r="A8" t="s">
        <v>42</v>
      </c>
      <c r="B8" s="1">
        <v>45675</v>
      </c>
      <c r="C8" t="s">
        <v>43</v>
      </c>
      <c r="D8" t="s">
        <v>21</v>
      </c>
      <c r="E8" t="s">
        <v>44</v>
      </c>
      <c r="F8" t="s">
        <v>45</v>
      </c>
      <c r="G8" t="s">
        <v>31</v>
      </c>
      <c r="H8">
        <v>4</v>
      </c>
      <c r="I8">
        <v>110</v>
      </c>
      <c r="J8">
        <v>0.15</v>
      </c>
      <c r="K8" t="s">
        <v>46</v>
      </c>
    </row>
    <row r="9" spans="1:11" x14ac:dyDescent="0.25">
      <c r="A9" t="s">
        <v>47</v>
      </c>
      <c r="B9" s="1">
        <v>45676</v>
      </c>
      <c r="C9" t="s">
        <v>48</v>
      </c>
      <c r="D9" t="s">
        <v>13</v>
      </c>
      <c r="E9" t="s">
        <v>22</v>
      </c>
      <c r="F9" t="s">
        <v>15</v>
      </c>
      <c r="G9" t="s">
        <v>16</v>
      </c>
      <c r="H9">
        <v>1</v>
      </c>
      <c r="I9">
        <v>150</v>
      </c>
      <c r="J9">
        <v>0</v>
      </c>
      <c r="K9" t="s">
        <v>32</v>
      </c>
    </row>
    <row r="10" spans="1:11" x14ac:dyDescent="0.25">
      <c r="A10" t="s">
        <v>49</v>
      </c>
      <c r="C10" t="s">
        <v>50</v>
      </c>
      <c r="D10" t="s">
        <v>21</v>
      </c>
      <c r="E10" t="s">
        <v>14</v>
      </c>
      <c r="F10" t="s">
        <v>51</v>
      </c>
      <c r="G10" t="s">
        <v>24</v>
      </c>
      <c r="H10">
        <v>10</v>
      </c>
      <c r="I10">
        <v>4.5</v>
      </c>
      <c r="J10">
        <v>0.2</v>
      </c>
      <c r="K10" t="s">
        <v>17</v>
      </c>
    </row>
    <row r="11" spans="1:11" x14ac:dyDescent="0.25">
      <c r="A11" t="s">
        <v>52</v>
      </c>
      <c r="B11" s="1">
        <v>45678</v>
      </c>
      <c r="C11" t="s">
        <v>53</v>
      </c>
      <c r="D11" t="s">
        <v>13</v>
      </c>
      <c r="E11" t="s">
        <v>29</v>
      </c>
      <c r="F11" t="s">
        <v>54</v>
      </c>
      <c r="G11" t="s">
        <v>16</v>
      </c>
      <c r="H11">
        <v>2</v>
      </c>
      <c r="I11">
        <v>85</v>
      </c>
      <c r="J11">
        <v>0</v>
      </c>
      <c r="K11" t="s">
        <v>55</v>
      </c>
    </row>
    <row r="12" spans="1:11" x14ac:dyDescent="0.25">
      <c r="A12" t="s">
        <v>56</v>
      </c>
      <c r="B12" s="1">
        <v>45679</v>
      </c>
      <c r="C12" t="s">
        <v>57</v>
      </c>
      <c r="D12" t="s">
        <v>21</v>
      </c>
      <c r="E12" t="s">
        <v>22</v>
      </c>
      <c r="F12" t="s">
        <v>23</v>
      </c>
      <c r="G12" t="s">
        <v>58</v>
      </c>
      <c r="H12">
        <v>6</v>
      </c>
      <c r="I12">
        <v>12.5</v>
      </c>
      <c r="J12">
        <v>0.1</v>
      </c>
      <c r="K12" t="s">
        <v>17</v>
      </c>
    </row>
    <row r="13" spans="1:11" x14ac:dyDescent="0.25">
      <c r="A13" t="s">
        <v>59</v>
      </c>
      <c r="B13" s="1">
        <v>45679</v>
      </c>
      <c r="C13" t="s">
        <v>60</v>
      </c>
      <c r="D13" t="s">
        <v>13</v>
      </c>
      <c r="E13" t="s">
        <v>14</v>
      </c>
      <c r="F13" t="s">
        <v>15</v>
      </c>
      <c r="G13" t="s">
        <v>16</v>
      </c>
      <c r="H13">
        <v>3</v>
      </c>
      <c r="I13">
        <v>150</v>
      </c>
      <c r="J13">
        <v>0</v>
      </c>
      <c r="K13" t="s">
        <v>17</v>
      </c>
    </row>
    <row r="14" spans="1:11" x14ac:dyDescent="0.25">
      <c r="A14" t="s">
        <v>61</v>
      </c>
      <c r="B14" t="s">
        <v>62</v>
      </c>
      <c r="C14" t="s">
        <v>63</v>
      </c>
      <c r="D14" t="s">
        <v>28</v>
      </c>
      <c r="E14" t="s">
        <v>29</v>
      </c>
      <c r="F14" t="s">
        <v>30</v>
      </c>
      <c r="G14" t="s">
        <v>31</v>
      </c>
      <c r="H14">
        <v>2</v>
      </c>
      <c r="I14">
        <v>320</v>
      </c>
      <c r="J14">
        <v>0.05</v>
      </c>
      <c r="K14" t="s">
        <v>17</v>
      </c>
    </row>
    <row r="15" spans="1:11" x14ac:dyDescent="0.25">
      <c r="A15" t="s">
        <v>64</v>
      </c>
      <c r="B15" s="1">
        <v>45682</v>
      </c>
      <c r="C15" t="s">
        <v>65</v>
      </c>
      <c r="D15" t="s">
        <v>13</v>
      </c>
      <c r="E15" t="s">
        <v>35</v>
      </c>
      <c r="F15" t="s">
        <v>66</v>
      </c>
      <c r="G15" t="s">
        <v>24</v>
      </c>
      <c r="H15">
        <v>25</v>
      </c>
      <c r="I15">
        <v>2.1</v>
      </c>
      <c r="J15">
        <v>0.25</v>
      </c>
      <c r="K15" t="s">
        <v>32</v>
      </c>
    </row>
    <row r="16" spans="1:11" x14ac:dyDescent="0.25">
      <c r="A16" t="s">
        <v>67</v>
      </c>
      <c r="B16" s="1">
        <v>45683</v>
      </c>
      <c r="C16" t="s">
        <v>68</v>
      </c>
      <c r="D16" t="s">
        <v>21</v>
      </c>
      <c r="E16" t="s">
        <v>14</v>
      </c>
      <c r="F16" t="s">
        <v>45</v>
      </c>
      <c r="G16" t="s">
        <v>31</v>
      </c>
      <c r="H16" t="s">
        <v>25</v>
      </c>
      <c r="I16">
        <v>110</v>
      </c>
      <c r="J16">
        <v>0</v>
      </c>
      <c r="K16" t="s">
        <v>37</v>
      </c>
    </row>
    <row r="17" spans="1:11" x14ac:dyDescent="0.25">
      <c r="A17" t="s">
        <v>69</v>
      </c>
      <c r="B17" s="1">
        <v>45684</v>
      </c>
      <c r="C17" t="s">
        <v>70</v>
      </c>
      <c r="D17" t="s">
        <v>28</v>
      </c>
      <c r="E17" t="s">
        <v>40</v>
      </c>
      <c r="F17" t="s">
        <v>54</v>
      </c>
      <c r="G17" t="s">
        <v>16</v>
      </c>
      <c r="H17">
        <v>1</v>
      </c>
      <c r="I17" s="2">
        <v>85</v>
      </c>
      <c r="J17">
        <v>0</v>
      </c>
      <c r="K1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3C33-6C0F-4339-8A5F-2D0367BCAB1C}">
  <dimension ref="A1:R15"/>
  <sheetViews>
    <sheetView workbookViewId="0">
      <selection activeCell="K1" sqref="K1"/>
    </sheetView>
  </sheetViews>
  <sheetFormatPr defaultRowHeight="15" x14ac:dyDescent="0.25"/>
  <cols>
    <col min="1" max="1" width="16.7109375" bestFit="1" customWidth="1"/>
    <col min="2" max="2" width="13.5703125" bestFit="1" customWidth="1"/>
    <col min="3" max="3" width="18.5703125" bestFit="1" customWidth="1"/>
    <col min="4" max="4" width="11.7109375" bestFit="1" customWidth="1"/>
    <col min="5" max="5" width="19.7109375" bestFit="1" customWidth="1"/>
    <col min="6" max="6" width="13.140625" bestFit="1" customWidth="1"/>
    <col min="7" max="7" width="14.28515625" bestFit="1" customWidth="1"/>
    <col min="8" max="8" width="11" bestFit="1" customWidth="1"/>
    <col min="9" max="9" width="12.42578125" bestFit="1" customWidth="1"/>
    <col min="10" max="10" width="11.42578125" bestFit="1" customWidth="1"/>
    <col min="11" max="11" width="17.85546875" bestFit="1" customWidth="1"/>
    <col min="12" max="12" width="17.140625" bestFit="1" customWidth="1"/>
    <col min="13" max="13" width="15" bestFit="1" customWidth="1"/>
    <col min="14" max="14" width="19.85546875" bestFit="1" customWidth="1"/>
    <col min="15" max="15" width="17.28515625" bestFit="1" customWidth="1"/>
    <col min="17" max="17" width="22.140625" bestFit="1" customWidth="1"/>
    <col min="18" max="18" width="19.42578125" customWidth="1"/>
  </cols>
  <sheetData>
    <row r="1" spans="1:18" ht="15.75" thickBot="1" x14ac:dyDescent="0.3">
      <c r="A1" t="s">
        <v>0</v>
      </c>
      <c r="B1" t="s">
        <v>1</v>
      </c>
      <c r="C1" t="s">
        <v>2</v>
      </c>
      <c r="D1" t="s">
        <v>3</v>
      </c>
      <c r="E1" t="s">
        <v>4</v>
      </c>
      <c r="F1" t="s">
        <v>5</v>
      </c>
      <c r="G1" t="s">
        <v>6</v>
      </c>
      <c r="H1" t="s">
        <v>7</v>
      </c>
      <c r="I1" t="s">
        <v>8</v>
      </c>
      <c r="J1" t="s">
        <v>9</v>
      </c>
      <c r="K1" t="s">
        <v>10</v>
      </c>
      <c r="L1" t="s">
        <v>79</v>
      </c>
      <c r="M1" t="s">
        <v>78</v>
      </c>
      <c r="N1" t="s">
        <v>80</v>
      </c>
      <c r="O1" t="s">
        <v>87</v>
      </c>
      <c r="Q1" s="4" t="s">
        <v>4</v>
      </c>
      <c r="R1" s="4" t="s">
        <v>81</v>
      </c>
    </row>
    <row r="2" spans="1:18" ht="18" customHeight="1" thickBot="1" x14ac:dyDescent="0.3">
      <c r="A2" s="3" t="s">
        <v>11</v>
      </c>
      <c r="B2" s="1">
        <v>45672</v>
      </c>
      <c r="C2" s="3" t="s">
        <v>60</v>
      </c>
      <c r="D2" s="3" t="s">
        <v>13</v>
      </c>
      <c r="E2" s="3" t="s">
        <v>14</v>
      </c>
      <c r="F2" s="3" t="s">
        <v>15</v>
      </c>
      <c r="G2" s="3" t="s">
        <v>16</v>
      </c>
      <c r="H2">
        <v>2</v>
      </c>
      <c r="I2">
        <v>150</v>
      </c>
      <c r="J2">
        <v>0</v>
      </c>
      <c r="K2" s="3" t="s">
        <v>17</v>
      </c>
      <c r="L2">
        <f xml:space="preserve"> Table1_1[[#This Row],[Quantity]] * Table1_1[[#This Row],[Unit_Price]]</f>
        <v>300</v>
      </c>
      <c r="M2">
        <f xml:space="preserve"> Table1_1[[#This Row],[Gross_Revenue]] * (1 - Table1_1[[#This Row],[Discount]])</f>
        <v>300</v>
      </c>
      <c r="N2" t="str">
        <f>_xlfn.XLOOKUP(Table1_1[[#This Row],[Country]], $Q$2:$Q$7, $R$2:$R$7, "Unknown")</f>
        <v>Obi</v>
      </c>
      <c r="O2" t="str" cm="1">
        <f t="array" ref="O2">_xlfn.IFS(Table1_1[[#This Row],[Net Revenue]]&gt;=200, "High Value", Table1_1[[#This Row],[Net Revenue]]&gt;=50, "Mid Value", TRUE, "Low Value")</f>
        <v>High Value</v>
      </c>
      <c r="Q2" s="5" t="s">
        <v>14</v>
      </c>
      <c r="R2" s="5" t="s">
        <v>82</v>
      </c>
    </row>
    <row r="3" spans="1:18" ht="18.75" customHeight="1" thickBot="1" x14ac:dyDescent="0.3">
      <c r="A3" s="3" t="s">
        <v>18</v>
      </c>
      <c r="B3" s="1">
        <v>45672</v>
      </c>
      <c r="C3" s="3" t="s">
        <v>20</v>
      </c>
      <c r="D3" s="3" t="s">
        <v>21</v>
      </c>
      <c r="E3" s="3" t="s">
        <v>22</v>
      </c>
      <c r="F3" s="3" t="s">
        <v>23</v>
      </c>
      <c r="G3" s="3" t="s">
        <v>24</v>
      </c>
      <c r="H3">
        <v>1</v>
      </c>
      <c r="I3">
        <v>12.5</v>
      </c>
      <c r="J3">
        <v>0.1</v>
      </c>
      <c r="K3" s="3" t="s">
        <v>17</v>
      </c>
      <c r="L3">
        <f xml:space="preserve"> Table1_1[[#This Row],[Quantity]] * Table1_1[[#This Row],[Unit_Price]]</f>
        <v>12.5</v>
      </c>
      <c r="M3">
        <f xml:space="preserve"> Table1_1[[#This Row],[Gross_Revenue]] * (1 - Table1_1[[#This Row],[Discount]])</f>
        <v>11.25</v>
      </c>
      <c r="N3" s="3" t="str">
        <f>_xlfn.XLOOKUP(Table1_1[[#This Row],[Country]], $Q$2:$Q$7, $R$2:$R$7, "Unknown")</f>
        <v>Sarah</v>
      </c>
      <c r="O3" s="3" t="str" cm="1">
        <f t="array" ref="O3">_xlfn.IFS(Table1_1[[#This Row],[Net Revenue]]&gt;=200, "High Value", Table1_1[[#This Row],[Net Revenue]]&gt;=50, "Mid Value", TRUE, "Low Value")</f>
        <v>Low Value</v>
      </c>
      <c r="Q3" s="5" t="s">
        <v>22</v>
      </c>
      <c r="R3" s="5" t="s">
        <v>83</v>
      </c>
    </row>
    <row r="4" spans="1:18" ht="15.75" thickBot="1" x14ac:dyDescent="0.3">
      <c r="A4" s="3" t="s">
        <v>26</v>
      </c>
      <c r="B4" s="1">
        <v>45673</v>
      </c>
      <c r="C4" s="3" t="s">
        <v>71</v>
      </c>
      <c r="D4" s="3" t="s">
        <v>28</v>
      </c>
      <c r="E4" s="3" t="s">
        <v>29</v>
      </c>
      <c r="F4" s="3" t="s">
        <v>30</v>
      </c>
      <c r="G4" s="3" t="s">
        <v>31</v>
      </c>
      <c r="H4">
        <v>1</v>
      </c>
      <c r="I4">
        <v>320</v>
      </c>
      <c r="J4">
        <v>0.05</v>
      </c>
      <c r="K4" s="3" t="s">
        <v>32</v>
      </c>
      <c r="L4">
        <f xml:space="preserve"> Table1_1[[#This Row],[Quantity]] * Table1_1[[#This Row],[Unit_Price]]</f>
        <v>320</v>
      </c>
      <c r="M4">
        <f xml:space="preserve"> Table1_1[[#This Row],[Gross_Revenue]] * (1 - Table1_1[[#This Row],[Discount]])</f>
        <v>304</v>
      </c>
      <c r="N4" s="3" t="str">
        <f>_xlfn.XLOOKUP(Table1_1[[#This Row],[Country]], $Q$2:$Q$7, $R$2:$R$7, "Unknown")</f>
        <v>Chidi</v>
      </c>
      <c r="O4" s="3" t="str" cm="1">
        <f t="array" ref="O4">_xlfn.IFS(Table1_1[[#This Row],[Net Revenue]]&gt;=200, "High Value", Table1_1[[#This Row],[Net Revenue]]&gt;=50, "Mid Value", TRUE, "Low Value")</f>
        <v>High Value</v>
      </c>
      <c r="Q4" s="5" t="s">
        <v>29</v>
      </c>
      <c r="R4" s="5" t="s">
        <v>84</v>
      </c>
    </row>
    <row r="5" spans="1:18" ht="17.25" customHeight="1" thickBot="1" x14ac:dyDescent="0.3">
      <c r="A5" s="3" t="s">
        <v>33</v>
      </c>
      <c r="B5" s="1">
        <v>45674</v>
      </c>
      <c r="C5" s="3" t="s">
        <v>72</v>
      </c>
      <c r="D5" s="3" t="s">
        <v>13</v>
      </c>
      <c r="E5" s="3" t="s">
        <v>35</v>
      </c>
      <c r="F5" s="3" t="s">
        <v>15</v>
      </c>
      <c r="G5" s="3" t="s">
        <v>16</v>
      </c>
      <c r="H5">
        <v>5</v>
      </c>
      <c r="I5">
        <v>150</v>
      </c>
      <c r="J5">
        <v>0</v>
      </c>
      <c r="K5" s="3" t="s">
        <v>37</v>
      </c>
      <c r="L5">
        <f xml:space="preserve"> Table1_1[[#This Row],[Quantity]] * Table1_1[[#This Row],[Unit_Price]]</f>
        <v>750</v>
      </c>
      <c r="M5">
        <f xml:space="preserve"> Table1_1[[#This Row],[Gross_Revenue]] * (1 - Table1_1[[#This Row],[Discount]])</f>
        <v>750</v>
      </c>
      <c r="N5" s="3" t="str">
        <f>_xlfn.XLOOKUP(Table1_1[[#This Row],[Country]], $Q$2:$Q$7, $R$2:$R$7, "Unknown")</f>
        <v>Liam</v>
      </c>
      <c r="O5" s="3" t="str" cm="1">
        <f t="array" ref="O5">_xlfn.IFS(Table1_1[[#This Row],[Net Revenue]]&gt;=200, "High Value", Table1_1[[#This Row],[Net Revenue]]&gt;=50, "Mid Value", TRUE, "Low Value")</f>
        <v>High Value</v>
      </c>
      <c r="Q5" s="5" t="s">
        <v>35</v>
      </c>
      <c r="R5" s="5" t="s">
        <v>85</v>
      </c>
    </row>
    <row r="6" spans="1:18" ht="18" customHeight="1" thickBot="1" x14ac:dyDescent="0.3">
      <c r="A6" s="3" t="s">
        <v>38</v>
      </c>
      <c r="B6" s="1">
        <v>45674</v>
      </c>
      <c r="C6" s="3" t="s">
        <v>39</v>
      </c>
      <c r="D6" s="3" t="s">
        <v>13</v>
      </c>
      <c r="E6" s="3" t="s">
        <v>40</v>
      </c>
      <c r="F6" s="3" t="s">
        <v>41</v>
      </c>
      <c r="G6" s="3" t="s">
        <v>24</v>
      </c>
      <c r="H6">
        <v>3</v>
      </c>
      <c r="I6">
        <v>8.99</v>
      </c>
      <c r="J6">
        <v>0</v>
      </c>
      <c r="K6" s="3" t="s">
        <v>17</v>
      </c>
      <c r="L6">
        <f xml:space="preserve"> Table1_1[[#This Row],[Quantity]] * Table1_1[[#This Row],[Unit_Price]]</f>
        <v>26.97</v>
      </c>
      <c r="M6">
        <f xml:space="preserve"> Table1_1[[#This Row],[Gross_Revenue]] * (1 - Table1_1[[#This Row],[Discount]])</f>
        <v>26.97</v>
      </c>
      <c r="N6" s="3" t="str">
        <f>_xlfn.XLOOKUP(Table1_1[[#This Row],[Country]], $Q$2:$Q$7, $R$2:$R$7, "Unknown")</f>
        <v>Sofia</v>
      </c>
      <c r="O6" s="3" t="str" cm="1">
        <f t="array" ref="O6">_xlfn.IFS(Table1_1[[#This Row],[Net Revenue]]&gt;=200, "High Value", Table1_1[[#This Row],[Net Revenue]]&gt;=50, "Mid Value", TRUE, "Low Value")</f>
        <v>Low Value</v>
      </c>
      <c r="Q6" s="5" t="s">
        <v>40</v>
      </c>
      <c r="R6" s="5" t="s">
        <v>86</v>
      </c>
    </row>
    <row r="7" spans="1:18" ht="22.5" customHeight="1" x14ac:dyDescent="0.25">
      <c r="A7" s="3" t="s">
        <v>42</v>
      </c>
      <c r="B7" s="1">
        <v>45675</v>
      </c>
      <c r="C7" s="3" t="s">
        <v>73</v>
      </c>
      <c r="D7" s="3" t="s">
        <v>21</v>
      </c>
      <c r="E7" s="3" t="s">
        <v>44</v>
      </c>
      <c r="F7" s="3" t="s">
        <v>45</v>
      </c>
      <c r="G7" s="3" t="s">
        <v>31</v>
      </c>
      <c r="H7">
        <v>4</v>
      </c>
      <c r="I7">
        <v>110</v>
      </c>
      <c r="J7">
        <v>0.15</v>
      </c>
      <c r="K7" s="3" t="s">
        <v>46</v>
      </c>
      <c r="L7">
        <f xml:space="preserve"> Table1_1[[#This Row],[Quantity]] * Table1_1[[#This Row],[Unit_Price]]</f>
        <v>440</v>
      </c>
      <c r="M7">
        <f xml:space="preserve"> Table1_1[[#This Row],[Gross_Revenue]] * (1 - Table1_1[[#This Row],[Discount]])</f>
        <v>374</v>
      </c>
      <c r="N7" s="3" t="str">
        <f>_xlfn.XLOOKUP(Table1_1[[#This Row],[Country]], $Q$2:$Q$7, $R$2:$R$7, "Unknown")</f>
        <v>Amara</v>
      </c>
      <c r="O7" s="3" t="str" cm="1">
        <f t="array" ref="O7">_xlfn.IFS(Table1_1[[#This Row],[Net Revenue]]&gt;=200, "High Value", Table1_1[[#This Row],[Net Revenue]]&gt;=50, "Mid Value", TRUE, "Low Value")</f>
        <v>High Value</v>
      </c>
      <c r="Q7" s="6" t="s">
        <v>88</v>
      </c>
      <c r="R7" s="6" t="s">
        <v>89</v>
      </c>
    </row>
    <row r="8" spans="1:18" x14ac:dyDescent="0.25">
      <c r="A8" s="3" t="s">
        <v>47</v>
      </c>
      <c r="B8" s="1">
        <v>45676</v>
      </c>
      <c r="C8" s="3" t="s">
        <v>74</v>
      </c>
      <c r="D8" s="3" t="s">
        <v>13</v>
      </c>
      <c r="E8" s="3" t="s">
        <v>22</v>
      </c>
      <c r="F8" s="3" t="s">
        <v>15</v>
      </c>
      <c r="G8" s="3" t="s">
        <v>16</v>
      </c>
      <c r="H8">
        <v>1</v>
      </c>
      <c r="I8">
        <v>150</v>
      </c>
      <c r="J8">
        <v>0</v>
      </c>
      <c r="K8" s="3" t="s">
        <v>32</v>
      </c>
      <c r="L8">
        <f xml:space="preserve"> Table1_1[[#This Row],[Quantity]] * Table1_1[[#This Row],[Unit_Price]]</f>
        <v>150</v>
      </c>
      <c r="M8">
        <f xml:space="preserve"> Table1_1[[#This Row],[Gross_Revenue]] * (1 - Table1_1[[#This Row],[Discount]])</f>
        <v>150</v>
      </c>
      <c r="N8" s="3" t="str">
        <f>_xlfn.XLOOKUP(Table1_1[[#This Row],[Country]], $Q$2:$Q$7, $R$2:$R$7, "Unknown")</f>
        <v>Sarah</v>
      </c>
      <c r="O8" s="3" t="str" cm="1">
        <f t="array" ref="O8">_xlfn.IFS(Table1_1[[#This Row],[Net Revenue]]&gt;=200, "High Value", Table1_1[[#This Row],[Net Revenue]]&gt;=50, "Mid Value", TRUE, "Low Value")</f>
        <v>Mid Value</v>
      </c>
    </row>
    <row r="9" spans="1:18" x14ac:dyDescent="0.25">
      <c r="A9" s="3" t="s">
        <v>52</v>
      </c>
      <c r="B9" s="1">
        <v>45678</v>
      </c>
      <c r="C9" s="3" t="s">
        <v>75</v>
      </c>
      <c r="D9" s="3" t="s">
        <v>13</v>
      </c>
      <c r="E9" s="3" t="s">
        <v>29</v>
      </c>
      <c r="F9" s="3" t="s">
        <v>54</v>
      </c>
      <c r="G9" s="3" t="s">
        <v>16</v>
      </c>
      <c r="H9">
        <v>2</v>
      </c>
      <c r="I9">
        <v>85</v>
      </c>
      <c r="J9">
        <v>0</v>
      </c>
      <c r="K9" s="3" t="s">
        <v>55</v>
      </c>
      <c r="L9">
        <f xml:space="preserve"> Table1_1[[#This Row],[Quantity]] * Table1_1[[#This Row],[Unit_Price]]</f>
        <v>170</v>
      </c>
      <c r="M9">
        <f xml:space="preserve"> Table1_1[[#This Row],[Gross_Revenue]] * (1 - Table1_1[[#This Row],[Discount]])</f>
        <v>170</v>
      </c>
      <c r="N9" s="3" t="str">
        <f>_xlfn.XLOOKUP(Table1_1[[#This Row],[Country]], $Q$2:$Q$7, $R$2:$R$7, "Unknown")</f>
        <v>Chidi</v>
      </c>
      <c r="O9" s="3" t="str" cm="1">
        <f t="array" ref="O9">_xlfn.IFS(Table1_1[[#This Row],[Net Revenue]]&gt;=200, "High Value", Table1_1[[#This Row],[Net Revenue]]&gt;=50, "Mid Value", TRUE, "Low Value")</f>
        <v>Mid Value</v>
      </c>
    </row>
    <row r="10" spans="1:18" x14ac:dyDescent="0.25">
      <c r="A10" s="3" t="s">
        <v>56</v>
      </c>
      <c r="B10" s="1">
        <v>45679</v>
      </c>
      <c r="C10" s="3" t="s">
        <v>20</v>
      </c>
      <c r="D10" s="3" t="s">
        <v>21</v>
      </c>
      <c r="E10" s="3" t="s">
        <v>22</v>
      </c>
      <c r="F10" s="3" t="s">
        <v>23</v>
      </c>
      <c r="G10" s="3" t="s">
        <v>24</v>
      </c>
      <c r="H10">
        <v>6</v>
      </c>
      <c r="I10">
        <v>12.5</v>
      </c>
      <c r="J10">
        <v>0.1</v>
      </c>
      <c r="K10" s="3" t="s">
        <v>17</v>
      </c>
      <c r="L10">
        <f xml:space="preserve"> Table1_1[[#This Row],[Quantity]] * Table1_1[[#This Row],[Unit_Price]]</f>
        <v>75</v>
      </c>
      <c r="M10">
        <f xml:space="preserve"> Table1_1[[#This Row],[Gross_Revenue]] * (1 - Table1_1[[#This Row],[Discount]])</f>
        <v>67.5</v>
      </c>
      <c r="N10" s="3" t="str">
        <f>_xlfn.XLOOKUP(Table1_1[[#This Row],[Country]], $Q$2:$Q$7, $R$2:$R$7, "Unknown")</f>
        <v>Sarah</v>
      </c>
      <c r="O10" s="3" t="str" cm="1">
        <f t="array" ref="O10">_xlfn.IFS(Table1_1[[#This Row],[Net Revenue]]&gt;=200, "High Value", Table1_1[[#This Row],[Net Revenue]]&gt;=50, "Mid Value", TRUE, "Low Value")</f>
        <v>Mid Value</v>
      </c>
    </row>
    <row r="11" spans="1:18" x14ac:dyDescent="0.25">
      <c r="A11" s="3" t="s">
        <v>59</v>
      </c>
      <c r="B11" s="1">
        <v>45679</v>
      </c>
      <c r="C11" s="3" t="s">
        <v>60</v>
      </c>
      <c r="D11" s="3" t="s">
        <v>13</v>
      </c>
      <c r="E11" s="3" t="s">
        <v>14</v>
      </c>
      <c r="F11" s="3" t="s">
        <v>15</v>
      </c>
      <c r="G11" s="3" t="s">
        <v>16</v>
      </c>
      <c r="H11">
        <v>3</v>
      </c>
      <c r="I11">
        <v>150</v>
      </c>
      <c r="J11">
        <v>0</v>
      </c>
      <c r="K11" s="3" t="s">
        <v>17</v>
      </c>
      <c r="L11">
        <f xml:space="preserve"> Table1_1[[#This Row],[Quantity]] * Table1_1[[#This Row],[Unit_Price]]</f>
        <v>450</v>
      </c>
      <c r="M11">
        <f xml:space="preserve"> Table1_1[[#This Row],[Gross_Revenue]] * (1 - Table1_1[[#This Row],[Discount]])</f>
        <v>450</v>
      </c>
      <c r="N11" s="3" t="str">
        <f>_xlfn.XLOOKUP(Table1_1[[#This Row],[Country]], $Q$2:$Q$7, $R$2:$R$7, "Unknown")</f>
        <v>Obi</v>
      </c>
      <c r="O11" s="3" t="str" cm="1">
        <f t="array" ref="O11">_xlfn.IFS(Table1_1[[#This Row],[Net Revenue]]&gt;=200, "High Value", Table1_1[[#This Row],[Net Revenue]]&gt;=50, "Mid Value", TRUE, "Low Value")</f>
        <v>High Value</v>
      </c>
    </row>
    <row r="12" spans="1:18" x14ac:dyDescent="0.25">
      <c r="A12" s="3" t="s">
        <v>61</v>
      </c>
      <c r="B12" s="1">
        <v>45681</v>
      </c>
      <c r="C12" s="3" t="s">
        <v>76</v>
      </c>
      <c r="D12" s="3" t="s">
        <v>28</v>
      </c>
      <c r="E12" s="3" t="s">
        <v>29</v>
      </c>
      <c r="F12" s="3" t="s">
        <v>30</v>
      </c>
      <c r="G12" s="3" t="s">
        <v>31</v>
      </c>
      <c r="H12">
        <v>2</v>
      </c>
      <c r="I12">
        <v>320</v>
      </c>
      <c r="J12">
        <v>0.05</v>
      </c>
      <c r="K12" s="3" t="s">
        <v>17</v>
      </c>
      <c r="L12">
        <f xml:space="preserve"> Table1_1[[#This Row],[Quantity]] * Table1_1[[#This Row],[Unit_Price]]</f>
        <v>640</v>
      </c>
      <c r="M12">
        <f xml:space="preserve"> Table1_1[[#This Row],[Gross_Revenue]] * (1 - Table1_1[[#This Row],[Discount]])</f>
        <v>608</v>
      </c>
      <c r="N12" s="3" t="str">
        <f>_xlfn.XLOOKUP(Table1_1[[#This Row],[Country]], $Q$2:$Q$7, $R$2:$R$7, "Unknown")</f>
        <v>Chidi</v>
      </c>
      <c r="O12" s="3" t="str" cm="1">
        <f t="array" ref="O12">_xlfn.IFS(Table1_1[[#This Row],[Net Revenue]]&gt;=200, "High Value", Table1_1[[#This Row],[Net Revenue]]&gt;=50, "Mid Value", TRUE, "Low Value")</f>
        <v>High Value</v>
      </c>
    </row>
    <row r="13" spans="1:18" x14ac:dyDescent="0.25">
      <c r="A13" s="3" t="s">
        <v>64</v>
      </c>
      <c r="B13" s="1">
        <v>45682</v>
      </c>
      <c r="C13" s="3" t="s">
        <v>65</v>
      </c>
      <c r="D13" s="3" t="s">
        <v>13</v>
      </c>
      <c r="E13" s="3" t="s">
        <v>35</v>
      </c>
      <c r="F13" s="3" t="s">
        <v>66</v>
      </c>
      <c r="G13" s="3" t="s">
        <v>24</v>
      </c>
      <c r="H13">
        <v>25</v>
      </c>
      <c r="I13">
        <v>2.1</v>
      </c>
      <c r="J13">
        <v>0.25</v>
      </c>
      <c r="K13" s="3" t="s">
        <v>32</v>
      </c>
      <c r="L13">
        <f xml:space="preserve"> Table1_1[[#This Row],[Quantity]] * Table1_1[[#This Row],[Unit_Price]]</f>
        <v>52.5</v>
      </c>
      <c r="M13">
        <f xml:space="preserve"> Table1_1[[#This Row],[Gross_Revenue]] * (1 - Table1_1[[#This Row],[Discount]])</f>
        <v>39.375</v>
      </c>
      <c r="N13" s="3" t="str">
        <f>_xlfn.XLOOKUP(Table1_1[[#This Row],[Country]], $Q$2:$Q$7, $R$2:$R$7, "Unknown")</f>
        <v>Liam</v>
      </c>
      <c r="O13" s="3" t="str" cm="1">
        <f t="array" ref="O13">_xlfn.IFS(Table1_1[[#This Row],[Net Revenue]]&gt;=200, "High Value", Table1_1[[#This Row],[Net Revenue]]&gt;=50, "Mid Value", TRUE, "Low Value")</f>
        <v>Low Value</v>
      </c>
    </row>
    <row r="14" spans="1:18" x14ac:dyDescent="0.25">
      <c r="A14" s="3" t="s">
        <v>67</v>
      </c>
      <c r="B14" s="1">
        <v>45683</v>
      </c>
      <c r="C14" s="3" t="s">
        <v>77</v>
      </c>
      <c r="D14" s="3" t="s">
        <v>21</v>
      </c>
      <c r="E14" s="3" t="s">
        <v>14</v>
      </c>
      <c r="F14" s="3" t="s">
        <v>45</v>
      </c>
      <c r="G14" s="3" t="s">
        <v>31</v>
      </c>
      <c r="H14">
        <v>1</v>
      </c>
      <c r="I14">
        <v>110</v>
      </c>
      <c r="J14">
        <v>0</v>
      </c>
      <c r="K14" s="3" t="s">
        <v>37</v>
      </c>
      <c r="L14">
        <f xml:space="preserve"> Table1_1[[#This Row],[Quantity]] * Table1_1[[#This Row],[Unit_Price]]</f>
        <v>110</v>
      </c>
      <c r="M14">
        <f xml:space="preserve"> Table1_1[[#This Row],[Gross_Revenue]] * (1 - Table1_1[[#This Row],[Discount]])</f>
        <v>110</v>
      </c>
      <c r="N14" s="3" t="str">
        <f>_xlfn.XLOOKUP(Table1_1[[#This Row],[Country]], $Q$2:$Q$7, $R$2:$R$7, "Unknown")</f>
        <v>Obi</v>
      </c>
      <c r="O14" s="3" t="str" cm="1">
        <f t="array" ref="O14">_xlfn.IFS(Table1_1[[#This Row],[Net Revenue]]&gt;=200, "High Value", Table1_1[[#This Row],[Net Revenue]]&gt;=50, "Mid Value", TRUE, "Low Value")</f>
        <v>Mid Value</v>
      </c>
    </row>
    <row r="15" spans="1:18" x14ac:dyDescent="0.25">
      <c r="A15" s="3" t="s">
        <v>69</v>
      </c>
      <c r="B15" s="1">
        <v>45684</v>
      </c>
      <c r="C15" s="3" t="s">
        <v>70</v>
      </c>
      <c r="D15" s="3" t="s">
        <v>28</v>
      </c>
      <c r="E15" s="3" t="s">
        <v>40</v>
      </c>
      <c r="F15" s="3" t="s">
        <v>54</v>
      </c>
      <c r="G15" s="3" t="s">
        <v>16</v>
      </c>
      <c r="H15">
        <v>1</v>
      </c>
      <c r="I15">
        <v>85</v>
      </c>
      <c r="J15">
        <v>0</v>
      </c>
      <c r="K15" s="3" t="s">
        <v>17</v>
      </c>
      <c r="L15">
        <f xml:space="preserve"> Table1_1[[#This Row],[Quantity]] * Table1_1[[#This Row],[Unit_Price]]</f>
        <v>85</v>
      </c>
      <c r="M15">
        <f xml:space="preserve"> Table1_1[[#This Row],[Gross_Revenue]] * (1 - Table1_1[[#This Row],[Discount]])</f>
        <v>85</v>
      </c>
      <c r="N15" s="3" t="str">
        <f>_xlfn.XLOOKUP(Table1_1[[#This Row],[Country]], $Q$2:$Q$7, $R$2:$R$7, "Unknown")</f>
        <v>Sofia</v>
      </c>
      <c r="O15" s="3" t="str" cm="1">
        <f t="array" ref="O15">_xlfn.IFS(Table1_1[[#This Row],[Net Revenue]]&gt;=200, "High Value", Table1_1[[#This Row],[Net Revenue]]&gt;=50, "Mid Value", TRUE, "Low Value")</f>
        <v>Mid Value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E6F7-7CA2-4E27-B9D9-7B0D21209744}">
  <dimension ref="A1:I17"/>
  <sheetViews>
    <sheetView zoomScale="115" zoomScaleNormal="115" workbookViewId="0">
      <selection activeCell="D2" sqref="D2"/>
    </sheetView>
  </sheetViews>
  <sheetFormatPr defaultRowHeight="15" x14ac:dyDescent="0.25"/>
  <cols>
    <col min="1" max="1" width="16.42578125" customWidth="1"/>
    <col min="2" max="2" width="17.7109375" bestFit="1" customWidth="1"/>
    <col min="3" max="3" width="18.28515625" customWidth="1"/>
    <col min="4" max="4" width="21.85546875" bestFit="1" customWidth="1"/>
    <col min="5" max="5" width="19.7109375" bestFit="1" customWidth="1"/>
    <col min="6" max="6" width="13" customWidth="1"/>
    <col min="7" max="7" width="14.28515625" bestFit="1" customWidth="1"/>
    <col min="8" max="8" width="10.85546875" customWidth="1"/>
    <col min="9" max="9" width="12.28515625" customWidth="1"/>
    <col min="10" max="10" width="11.28515625" customWidth="1"/>
    <col min="11" max="11" width="17.5703125" customWidth="1"/>
  </cols>
  <sheetData>
    <row r="1" spans="1:4" ht="24" x14ac:dyDescent="0.4">
      <c r="A1" s="17" t="s">
        <v>94</v>
      </c>
    </row>
    <row r="2" spans="1:4" x14ac:dyDescent="0.25">
      <c r="A2" s="18" t="s">
        <v>95</v>
      </c>
      <c r="B2" s="1"/>
    </row>
    <row r="4" spans="1:4" x14ac:dyDescent="0.25">
      <c r="A4" s="7" t="s">
        <v>90</v>
      </c>
      <c r="B4" s="8" t="s">
        <v>91</v>
      </c>
      <c r="C4" s="7" t="s">
        <v>92</v>
      </c>
      <c r="D4" s="7" t="s">
        <v>93</v>
      </c>
    </row>
    <row r="5" spans="1:4" x14ac:dyDescent="0.25">
      <c r="A5" s="9" t="str" cm="1">
        <f t="array" ref="A5:A7">_xlfn.UNIQUE(Table1_1[Category])</f>
        <v>Electronics</v>
      </c>
      <c r="B5" s="10" cm="1">
        <f t="array" ref="B5:B7">COUNTIFS(Table1_1[Category],_xlfn.ANCHORARRAY( 'Analytics Workspace'!A5))</f>
        <v>6</v>
      </c>
      <c r="C5" s="11" cm="1">
        <f t="array" ref="C5:C7">SUMIFS(Table1_1[Net Revenue], Table1_1[Category],_xlfn.ANCHORARRAY('Analytics Workspace'!A5))</f>
        <v>1905</v>
      </c>
      <c r="D5" s="12" cm="1">
        <f t="array" ref="D5:D7">AVERAGEIFS(Table1_1[Discount],Table1_1[Category],_xlfn.ANCHORARRAY('Analytics Workspace'!A5))</f>
        <v>0</v>
      </c>
    </row>
    <row r="6" spans="1:4" x14ac:dyDescent="0.25">
      <c r="A6" s="9" t="str">
        <v>Office Supplies</v>
      </c>
      <c r="B6" s="10">
        <v>4</v>
      </c>
      <c r="C6" s="11">
        <v>145.095</v>
      </c>
      <c r="D6" s="12">
        <v>0.1125</v>
      </c>
    </row>
    <row r="7" spans="1:4" ht="15.75" thickBot="1" x14ac:dyDescent="0.3">
      <c r="A7" s="13" t="str">
        <v>Furniture</v>
      </c>
      <c r="B7" s="14">
        <v>4</v>
      </c>
      <c r="C7" s="15">
        <v>1396</v>
      </c>
      <c r="D7" s="16">
        <v>6.25E-2</v>
      </c>
    </row>
    <row r="8" spans="1:4" ht="15.75" thickTop="1" x14ac:dyDescent="0.25">
      <c r="B8" s="1"/>
    </row>
    <row r="9" spans="1:4" x14ac:dyDescent="0.25">
      <c r="B9" s="1"/>
    </row>
    <row r="11" spans="1:4" x14ac:dyDescent="0.25">
      <c r="B11" s="1"/>
    </row>
    <row r="12" spans="1:4" x14ac:dyDescent="0.25">
      <c r="B12" s="1"/>
    </row>
    <row r="13" spans="1:4" x14ac:dyDescent="0.25">
      <c r="B13" s="1"/>
    </row>
    <row r="15" spans="1:4" x14ac:dyDescent="0.25">
      <c r="B15" s="1"/>
    </row>
    <row r="16" spans="1:4" x14ac:dyDescent="0.25">
      <c r="B16" s="1"/>
    </row>
    <row r="17" spans="2:9" x14ac:dyDescent="0.25">
      <c r="B17" s="1"/>
      <c r="I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AF0B-3508-4297-B6DB-3B559FDE315A}">
  <dimension ref="A4:B32"/>
  <sheetViews>
    <sheetView tabSelected="1" workbookViewId="0">
      <selection activeCell="Q20" sqref="P20:Q20"/>
    </sheetView>
  </sheetViews>
  <sheetFormatPr defaultRowHeight="15" x14ac:dyDescent="0.25"/>
  <cols>
    <col min="1" max="1" width="13.42578125" bestFit="1" customWidth="1"/>
    <col min="2" max="2" width="19.7109375" bestFit="1" customWidth="1"/>
  </cols>
  <sheetData>
    <row r="4" spans="1:2" x14ac:dyDescent="0.25">
      <c r="A4" s="19" t="s">
        <v>96</v>
      </c>
      <c r="B4" t="s">
        <v>98</v>
      </c>
    </row>
    <row r="5" spans="1:2" x14ac:dyDescent="0.25">
      <c r="A5" s="20" t="s">
        <v>29</v>
      </c>
      <c r="B5" s="2">
        <v>608</v>
      </c>
    </row>
    <row r="6" spans="1:2" x14ac:dyDescent="0.25">
      <c r="A6" s="20" t="s">
        <v>14</v>
      </c>
      <c r="B6" s="2">
        <v>750</v>
      </c>
    </row>
    <row r="7" spans="1:2" x14ac:dyDescent="0.25">
      <c r="A7" s="20" t="s">
        <v>97</v>
      </c>
      <c r="B7" s="2">
        <v>1358</v>
      </c>
    </row>
    <row r="29" spans="1:2" x14ac:dyDescent="0.25">
      <c r="A29" s="19" t="s">
        <v>96</v>
      </c>
      <c r="B29" t="s">
        <v>98</v>
      </c>
    </row>
    <row r="30" spans="1:2" x14ac:dyDescent="0.25">
      <c r="A30" s="20" t="s">
        <v>16</v>
      </c>
      <c r="B30" s="2">
        <v>750</v>
      </c>
    </row>
    <row r="31" spans="1:2" x14ac:dyDescent="0.25">
      <c r="A31" s="20" t="s">
        <v>31</v>
      </c>
      <c r="B31" s="2">
        <v>608</v>
      </c>
    </row>
    <row r="32" spans="1:2" x14ac:dyDescent="0.25">
      <c r="A32" s="20" t="s">
        <v>97</v>
      </c>
      <c r="B32" s="2">
        <v>1358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6C5F4E-008D-4850-A955-C1B58B30B6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 Data</vt:lpstr>
      <vt:lpstr>Analytics Workspace</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Nazareth Ogoziem</dc:creator>
  <cp:lastModifiedBy>Nazareth Ogoziem</cp:lastModifiedBy>
  <dcterms:created xsi:type="dcterms:W3CDTF">2026-06-10T19:44:35Z</dcterms:created>
  <dcterms:modified xsi:type="dcterms:W3CDTF">2026-06-11T12:56:44Z</dcterms:modified>
</cp:coreProperties>
</file>